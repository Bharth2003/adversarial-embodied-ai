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ken Estimates" sheetId="1" state="visible" r:id="rId3"/>
    <sheet name="Cost Comparison" sheetId="2" state="visible" r:id="rId4"/>
    <sheet name="Recommend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<sst xmlns="http://schemas.openxmlformats.org/spreadsheetml/2006/main" count="92" uniqueCount="81">
  <si>
    <t xml:space="preserve">TOKEN BREAKDOWN PER EVALUATION CALL</t>
  </si>
  <si>
    <t xml:space="preserve">Component</t>
  </si>
  <si>
    <t xml:space="preserve">Est. Tokens</t>
  </si>
  <si>
    <t xml:space="preserve">Notes</t>
  </si>
  <si>
    <t xml:space="preserve">Execution report (steps + outcomes)</t>
  </si>
  <si>
    <t xml:space="preserve">~15-20 steps with state changes</t>
  </si>
  <si>
    <t xml:space="preserve">Safety constitution / rules</t>
  </si>
  <si>
    <t xml:space="preserve">Constitution rules fed to judge</t>
  </si>
  <si>
    <t xml:space="preserve">Instruction + ground truth label</t>
  </si>
  <si>
    <t xml:space="preserve">Original task + safe/unsafe label</t>
  </si>
  <si>
    <t xml:space="preserve">Judge prompt template</t>
  </si>
  <si>
    <t xml:space="preserve">System prompt for evaluation</t>
  </si>
  <si>
    <t xml:space="preserve">TOTAL INPUT per eval</t>
  </si>
  <si>
    <t xml:space="preserve">Judge output (JSON verdict + reason)</t>
  </si>
  <si>
    <t xml:space="preserve">Structured JSON response</t>
  </si>
  <si>
    <t xml:space="preserve">TOTAL OUTPUT per eval</t>
  </si>
  <si>
    <t xml:space="preserve">CLAUDE API COST COMPARISON - EVALUATION JUDGE</t>
  </si>
  <si>
    <t xml:space="preserve">ASSUMPTIONS</t>
  </si>
  <si>
    <t xml:space="preserve">Input tokens per eval:</t>
  </si>
  <si>
    <t xml:space="preserve">Output tokens per eval:</t>
  </si>
  <si>
    <t xml:space="preserve">Turns per person:</t>
  </si>
  <si>
    <t xml:space="preserve">MODEL PRICING (per million tokens)</t>
  </si>
  <si>
    <t xml:space="preserve">Model</t>
  </si>
  <si>
    <t xml:space="preserve">Input $/1M</t>
  </si>
  <si>
    <t xml:space="preserve">Output $/1M</t>
  </si>
  <si>
    <t xml:space="preserve">Quality</t>
  </si>
  <si>
    <t xml:space="preserve">Speed</t>
  </si>
  <si>
    <t xml:space="preserve">Best For</t>
  </si>
  <si>
    <t xml:space="preserve">Claude Haiku 4.5</t>
  </si>
  <si>
    <t xml:space="preserve">Good</t>
  </si>
  <si>
    <t xml:space="preserve">Very Fast</t>
  </si>
  <si>
    <t xml:space="preserve">Budget eval - recommended</t>
  </si>
  <si>
    <t xml:space="preserve">Claude Sonnet 4.6</t>
  </si>
  <si>
    <t xml:space="preserve">Very Good</t>
  </si>
  <si>
    <t xml:space="preserve">Fast</t>
  </si>
  <si>
    <t xml:space="preserve">High accuracy eval</t>
  </si>
  <si>
    <t xml:space="preserve">Claude Opus 4.6</t>
  </si>
  <si>
    <t xml:space="preserve">Best</t>
  </si>
  <si>
    <t xml:space="preserve">Slower</t>
  </si>
  <si>
    <t xml:space="preserve">Overkill for eval</t>
  </si>
  <si>
    <t xml:space="preserve">GPT-4o-mini</t>
  </si>
  <si>
    <t xml:space="preserve">Cheapest option</t>
  </si>
  <si>
    <t xml:space="preserve">GPT-4o</t>
  </si>
  <si>
    <t xml:space="preserve">Alternative to Sonnet</t>
  </si>
  <si>
    <t xml:space="preserve">Qwen 2.5 (local)</t>
  </si>
  <si>
    <t xml:space="preserve">Decent</t>
  </si>
  <si>
    <t xml:space="preserve">Depends</t>
  </si>
  <si>
    <t xml:space="preserve">Free - your Ollama setup</t>
  </si>
  <si>
    <t xml:space="preserve">COST PER SCENARIO</t>
  </si>
  <si>
    <t xml:space="preserve">1 Person
300 turns</t>
  </si>
  <si>
    <t xml:space="preserve">3 People
900 turns</t>
  </si>
  <si>
    <t xml:space="preserve">5 People
1500 turns</t>
  </si>
  <si>
    <t xml:space="preserve">8 People
2400 turns</t>
  </si>
  <si>
    <t xml:space="preserve">8 People x3 runs
7200 turns</t>
  </si>
  <si>
    <t xml:space="preserve">RECOMMENDATION FOR YOUR GROUP</t>
  </si>
  <si>
    <t xml:space="preserve">Approach</t>
  </si>
  <si>
    <t xml:space="preserve">Details</t>
  </si>
  <si>
    <t xml:space="preserve">Primary Judge</t>
  </si>
  <si>
    <t xml:space="preserve">Qwen 2.5 on your Ollama (free, everyone has access)</t>
  </si>
  <si>
    <t xml:space="preserve">Validation Judge</t>
  </si>
  <si>
    <t xml:space="preserve">Claude Haiku API - one key, run once to validate</t>
  </si>
  <si>
    <t xml:space="preserve">Est. validation cost</t>
  </si>
  <si>
    <t xml:space="preserve">~$1-3 for entire project</t>
  </si>
  <si>
    <t xml:space="preserve">Why Hybrid?</t>
  </si>
  <si>
    <t xml:space="preserve">1. Reproducibility</t>
  </si>
  <si>
    <t xml:space="preserve">Local model = same results every time, no API dependency</t>
  </si>
  <si>
    <t xml:space="preserve">2. Cost</t>
  </si>
  <si>
    <t xml:space="preserve">Qwen is free for unlimited runs during development</t>
  </si>
  <si>
    <t xml:space="preserve">3. Accuracy check</t>
  </si>
  <si>
    <t xml:space="preserve">Run Claude Haiku once at the end to validate Qwen's judgments</t>
  </si>
  <si>
    <t xml:space="preserve">4. Paper-friendly</t>
  </si>
  <si>
    <t xml:space="preserve">You can report agreement rate between local and API judge</t>
  </si>
  <si>
    <t xml:space="preserve">Setup</t>
  </si>
  <si>
    <t xml:space="preserve">Task model</t>
  </si>
  <si>
    <t xml:space="preserve">dolphin3:8b or qwen2.5 (your Ollama)</t>
  </si>
  <si>
    <t xml:space="preserve">Safety model</t>
  </si>
  <si>
    <t xml:space="preserve">paulprt1:latest (your Ollama)</t>
  </si>
  <si>
    <t xml:space="preserve">Judge model (local)</t>
  </si>
  <si>
    <t xml:space="preserve">qwen2.5-32k:latest (your Ollama)</t>
  </si>
  <si>
    <t xml:space="preserve">Judge model (validation)</t>
  </si>
  <si>
    <t xml:space="preserve">Claude Haiku via API ($0.80/$4.00 per M tokens)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</si>
</sst>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A1F5E"/>
        <bgColor rgb="FF2D2D2D"/>
      </patternFill>
    </fill>
    <fill>
      <patternFill patternType="solid">
        <fgColor rgb="FF2D2D2D"/>
        <bgColor rgb="FF333300"/>
      </patternFill>
    </fill>
    <fill>
      <patternFill patternType="solid">
        <fgColor rgb="FFE8E0F0"/>
        <bgColor rgb="FFD4EDDA"/>
      </patternFill>
    </fill>
    <fill>
      <patternFill patternType="solid">
        <fgColor rgb="FFD4EDDA"/>
        <bgColor rgb="FFE8E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8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A1F5E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8"/>
  </cols>
  <sheetData>
    <row r="1" customFormat="false" ht="16.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n">
        <v>500</v>
      </c>
      <c r="C3" s="3" t="s">
        <v>5</v>
      </c>
    </row>
    <row r="4" customFormat="false" ht="15" hidden="false" customHeight="false" outlineLevel="0" collapsed="false">
      <c r="A4" s="3" t="s">
        <v>6</v>
      </c>
      <c r="B4" s="4" t="n">
        <v>200</v>
      </c>
      <c r="C4" s="3" t="s">
        <v>7</v>
      </c>
    </row>
    <row r="5" customFormat="false" ht="15" hidden="false" customHeight="false" outlineLevel="0" collapsed="false">
      <c r="A5" s="3" t="s">
        <v>8</v>
      </c>
      <c r="B5" s="4" t="n">
        <v>100</v>
      </c>
      <c r="C5" s="3" t="s">
        <v>9</v>
      </c>
    </row>
    <row r="6" customFormat="false" ht="15" hidden="false" customHeight="false" outlineLevel="0" collapsed="false">
      <c r="A6" s="3" t="s">
        <v>10</v>
      </c>
      <c r="B6" s="4" t="n">
        <v>150</v>
      </c>
      <c r="C6" s="3" t="s">
        <v>11</v>
      </c>
    </row>
    <row r="7" customFormat="false" ht="15" hidden="false" customHeight="false" outlineLevel="0" collapsed="false">
      <c r="A7" s="5" t="s">
        <v>12</v>
      </c>
      <c r="B7" s="6" t="n">
        <f aca="false">SUM(B3:B6)</f>
        <v>950</v>
      </c>
      <c r="C7" s="5"/>
    </row>
    <row r="8" customFormat="false" ht="15" hidden="false" customHeight="false" outlineLevel="0" collapsed="false">
      <c r="A8" s="3" t="s">
        <v>13</v>
      </c>
      <c r="B8" s="4" t="n">
        <v>200</v>
      </c>
      <c r="C8" s="3" t="s">
        <v>14</v>
      </c>
    </row>
    <row r="9" customFormat="false" ht="15" hidden="false" customHeight="false" outlineLevel="0" collapsed="false">
      <c r="A9" s="5" t="s">
        <v>15</v>
      </c>
      <c r="B9" s="6" t="n">
        <f aca="false">B8</f>
        <v>200</v>
      </c>
      <c r="C9" s="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16.15" hidden="false" customHeight="false" outlineLevel="0" collapsed="false">
      <c r="A1" s="1" t="s">
        <v>16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7" t="s">
        <v>17</v>
      </c>
    </row>
    <row r="4" customFormat="false" ht="15" hidden="false" customHeight="false" outlineLevel="0" collapsed="false">
      <c r="B4" s="8" t="s">
        <v>18</v>
      </c>
      <c r="C4" s="9" t="n">
        <v>950</v>
      </c>
    </row>
    <row r="5" customFormat="false" ht="15" hidden="false" customHeight="false" outlineLevel="0" collapsed="false">
      <c r="B5" s="8" t="s">
        <v>19</v>
      </c>
      <c r="C5" s="9" t="n">
        <v>200</v>
      </c>
    </row>
    <row r="6" customFormat="false" ht="15" hidden="false" customHeight="false" outlineLevel="0" collapsed="false">
      <c r="B6" s="8" t="s">
        <v>20</v>
      </c>
      <c r="C6" s="9" t="n">
        <v>300</v>
      </c>
    </row>
    <row r="8" customFormat="false" ht="15" hidden="false" customHeight="false" outlineLevel="0" collapsed="false">
      <c r="A8" s="7" t="s">
        <v>21</v>
      </c>
    </row>
    <row r="9" customFormat="false" ht="15" hidden="false" customHeight="false" outlineLevel="0" collapsed="false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</row>
    <row r="10" customFormat="false" ht="15" hidden="false" customHeight="false" outlineLevel="0" collapsed="false">
      <c r="A10" s="3" t="s">
        <v>28</v>
      </c>
      <c r="B10" s="10" t="n">
        <v>0.8</v>
      </c>
      <c r="C10" s="10" t="n">
        <v>4</v>
      </c>
      <c r="D10" s="3" t="s">
        <v>29</v>
      </c>
      <c r="E10" s="3" t="s">
        <v>30</v>
      </c>
      <c r="F10" s="3" t="s">
        <v>31</v>
      </c>
    </row>
    <row r="11" customFormat="false" ht="15" hidden="false" customHeight="false" outlineLevel="0" collapsed="false">
      <c r="A11" s="3" t="s">
        <v>32</v>
      </c>
      <c r="B11" s="10" t="n">
        <v>3</v>
      </c>
      <c r="C11" s="10" t="n">
        <v>15</v>
      </c>
      <c r="D11" s="3" t="s">
        <v>33</v>
      </c>
      <c r="E11" s="3" t="s">
        <v>34</v>
      </c>
      <c r="F11" s="3" t="s">
        <v>35</v>
      </c>
    </row>
    <row r="12" customFormat="false" ht="15" hidden="false" customHeight="false" outlineLevel="0" collapsed="false">
      <c r="A12" s="3" t="s">
        <v>36</v>
      </c>
      <c r="B12" s="10" t="n">
        <v>15</v>
      </c>
      <c r="C12" s="10" t="n">
        <v>75</v>
      </c>
      <c r="D12" s="3" t="s">
        <v>37</v>
      </c>
      <c r="E12" s="3" t="s">
        <v>38</v>
      </c>
      <c r="F12" s="3" t="s">
        <v>39</v>
      </c>
    </row>
    <row r="13" customFormat="false" ht="15" hidden="false" customHeight="false" outlineLevel="0" collapsed="false">
      <c r="A13" s="3" t="s">
        <v>40</v>
      </c>
      <c r="B13" s="10" t="n">
        <v>0.15</v>
      </c>
      <c r="C13" s="10" t="n">
        <v>0.6</v>
      </c>
      <c r="D13" s="3" t="s">
        <v>29</v>
      </c>
      <c r="E13" s="3" t="s">
        <v>34</v>
      </c>
      <c r="F13" s="3" t="s">
        <v>41</v>
      </c>
    </row>
    <row r="14" customFormat="false" ht="15" hidden="false" customHeight="false" outlineLevel="0" collapsed="false">
      <c r="A14" s="3" t="s">
        <v>42</v>
      </c>
      <c r="B14" s="10" t="n">
        <v>2.5</v>
      </c>
      <c r="C14" s="10" t="n">
        <v>10</v>
      </c>
      <c r="D14" s="3" t="s">
        <v>33</v>
      </c>
      <c r="E14" s="3" t="s">
        <v>34</v>
      </c>
      <c r="F14" s="3" t="s">
        <v>43</v>
      </c>
    </row>
    <row r="15" customFormat="false" ht="15" hidden="false" customHeight="false" outlineLevel="0" collapsed="false">
      <c r="A15" s="3" t="s">
        <v>44</v>
      </c>
      <c r="B15" s="10" t="n">
        <v>0</v>
      </c>
      <c r="C15" s="10" t="n">
        <v>0</v>
      </c>
      <c r="D15" s="3" t="s">
        <v>45</v>
      </c>
      <c r="E15" s="3" t="s">
        <v>46</v>
      </c>
      <c r="F15" s="3" t="s">
        <v>47</v>
      </c>
    </row>
    <row r="18" customFormat="false" ht="15" hidden="false" customHeight="false" outlineLevel="0" collapsed="false">
      <c r="A18" s="7" t="s">
        <v>48</v>
      </c>
    </row>
    <row r="19" customFormat="false" ht="26.85" hidden="false" customHeight="false" outlineLevel="0" collapsed="false">
      <c r="A19" s="11" t="s">
        <v>22</v>
      </c>
      <c r="B19" s="11" t="s">
        <v>49</v>
      </c>
      <c r="C19" s="11" t="s">
        <v>50</v>
      </c>
      <c r="D19" s="11" t="s">
        <v>51</v>
      </c>
      <c r="E19" s="11" t="s">
        <v>52</v>
      </c>
      <c r="F19" s="11" t="s">
        <v>53</v>
      </c>
    </row>
    <row r="20" customFormat="false" ht="15" hidden="false" customHeight="false" outlineLevel="0" collapsed="false">
      <c r="A20" s="6" t="s">
        <v>28</v>
      </c>
      <c r="B20" s="12" t="n">
        <f aca="false">(300*$C$4/1000000*B$10)+(300*$C$5/1000000*C$10)</f>
        <v>0.468</v>
      </c>
      <c r="C20" s="12" t="n">
        <f aca="false">(900*$C$4/1000000*B$10)+(900*$C$5/1000000*C$10)</f>
        <v>1.404</v>
      </c>
      <c r="D20" s="12" t="n">
        <f aca="false">(1500*$C$4/1000000*B$10)+(1500*$C$5/1000000*C$10)</f>
        <v>2.34</v>
      </c>
      <c r="E20" s="12" t="n">
        <f aca="false">(2400*$C$4/1000000*B$10)+(2400*$C$5/1000000*C$10)</f>
        <v>3.744</v>
      </c>
      <c r="F20" s="12" t="n">
        <f aca="false">(7200*$C$4/1000000*B$10)+(7200*$C$5/1000000*C$10)</f>
        <v>11.232</v>
      </c>
    </row>
    <row r="21" customFormat="false" ht="15" hidden="false" customHeight="false" outlineLevel="0" collapsed="false">
      <c r="A21" s="13" t="s">
        <v>32</v>
      </c>
      <c r="B21" s="14" t="n">
        <f aca="false">(300*$C$4/1000000*B$11)+(300*$C$5/1000000*C$11)</f>
        <v>1.755</v>
      </c>
      <c r="C21" s="14" t="n">
        <f aca="false">(900*$C$4/1000000*B$11)+(900*$C$5/1000000*C$11)</f>
        <v>5.265</v>
      </c>
      <c r="D21" s="14" t="n">
        <f aca="false">(1500*$C$4/1000000*B$11)+(1500*$C$5/1000000*C$11)</f>
        <v>8.775</v>
      </c>
      <c r="E21" s="14" t="n">
        <f aca="false">(2400*$C$4/1000000*B$11)+(2400*$C$5/1000000*C$11)</f>
        <v>14.04</v>
      </c>
      <c r="F21" s="14" t="n">
        <f aca="false">(7200*$C$4/1000000*B$11)+(7200*$C$5/1000000*C$11)</f>
        <v>42.12</v>
      </c>
    </row>
    <row r="22" customFormat="false" ht="15" hidden="false" customHeight="false" outlineLevel="0" collapsed="false">
      <c r="A22" s="13" t="s">
        <v>36</v>
      </c>
      <c r="B22" s="14" t="n">
        <f aca="false">(300*$C$4/1000000*B$12)+(300*$C$5/1000000*C$12)</f>
        <v>8.775</v>
      </c>
      <c r="C22" s="14" t="n">
        <f aca="false">(900*$C$4/1000000*B$12)+(900*$C$5/1000000*C$12)</f>
        <v>26.325</v>
      </c>
      <c r="D22" s="14" t="n">
        <f aca="false">(1500*$C$4/1000000*B$12)+(1500*$C$5/1000000*C$12)</f>
        <v>43.875</v>
      </c>
      <c r="E22" s="14" t="n">
        <f aca="false">(2400*$C$4/1000000*B$12)+(2400*$C$5/1000000*C$12)</f>
        <v>70.2</v>
      </c>
      <c r="F22" s="14" t="n">
        <f aca="false">(7200*$C$4/1000000*B$12)+(7200*$C$5/1000000*C$12)</f>
        <v>210.6</v>
      </c>
    </row>
    <row r="23" customFormat="false" ht="15" hidden="false" customHeight="false" outlineLevel="0" collapsed="false">
      <c r="A23" s="13" t="s">
        <v>40</v>
      </c>
      <c r="B23" s="14" t="n">
        <f aca="false">(300*$C$4/1000000*B$13)+(300*$C$5/1000000*C$13)</f>
        <v>0.07875</v>
      </c>
      <c r="C23" s="14" t="n">
        <f aca="false">(900*$C$4/1000000*B$13)+(900*$C$5/1000000*C$13)</f>
        <v>0.23625</v>
      </c>
      <c r="D23" s="14" t="n">
        <f aca="false">(1500*$C$4/1000000*B$13)+(1500*$C$5/1000000*C$13)</f>
        <v>0.39375</v>
      </c>
      <c r="E23" s="14" t="n">
        <f aca="false">(2400*$C$4/1000000*B$13)+(2400*$C$5/1000000*C$13)</f>
        <v>0.63</v>
      </c>
      <c r="F23" s="14" t="n">
        <f aca="false">(7200*$C$4/1000000*B$13)+(7200*$C$5/1000000*C$13)</f>
        <v>1.89</v>
      </c>
    </row>
    <row r="24" customFormat="false" ht="15" hidden="false" customHeight="false" outlineLevel="0" collapsed="false">
      <c r="A24" s="13" t="s">
        <v>42</v>
      </c>
      <c r="B24" s="14" t="n">
        <f aca="false">(300*$C$4/1000000*B$14)+(300*$C$5/1000000*C$14)</f>
        <v>1.3125</v>
      </c>
      <c r="C24" s="14" t="n">
        <f aca="false">(900*$C$4/1000000*B$14)+(900*$C$5/1000000*C$14)</f>
        <v>3.9375</v>
      </c>
      <c r="D24" s="14" t="n">
        <f aca="false">(1500*$C$4/1000000*B$14)+(1500*$C$5/1000000*C$14)</f>
        <v>6.5625</v>
      </c>
      <c r="E24" s="14" t="n">
        <f aca="false">(2400*$C$4/1000000*B$14)+(2400*$C$5/1000000*C$14)</f>
        <v>10.5</v>
      </c>
      <c r="F24" s="14" t="n">
        <f aca="false">(7200*$C$4/1000000*B$14)+(7200*$C$5/1000000*C$14)</f>
        <v>31.5</v>
      </c>
    </row>
    <row r="25" customFormat="false" ht="15" hidden="false" customHeight="false" outlineLevel="0" collapsed="false">
      <c r="A25" s="15" t="s">
        <v>44</v>
      </c>
      <c r="B25" s="16" t="n">
        <f aca="false">(300*$C$4/1000000*B$15)+(300*$C$5/1000000*C$15)</f>
        <v>0</v>
      </c>
      <c r="C25" s="16" t="n">
        <f aca="false">(900*$C$4/1000000*B$15)+(900*$C$5/1000000*C$15)</f>
        <v>0</v>
      </c>
      <c r="D25" s="16" t="n">
        <f aca="false">(1500*$C$4/1000000*B$15)+(1500*$C$5/1000000*C$15)</f>
        <v>0</v>
      </c>
      <c r="E25" s="16" t="n">
        <f aca="false">(2400*$C$4/1000000*B$15)+(2400*$C$5/1000000*C$15)</f>
        <v>0</v>
      </c>
      <c r="F25" s="16" t="n">
        <f aca="false">(7200*$C$4/1000000*B$15)+(7200*$C$5/1000000*C$15)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54</v>
      </c>
      <c r="B1" s="1"/>
    </row>
    <row r="2" customFormat="false" ht="15" hidden="false" customHeight="false" outlineLevel="0" collapsed="false">
      <c r="A2" s="17" t="s">
        <v>55</v>
      </c>
      <c r="B2" s="17" t="s">
        <v>56</v>
      </c>
    </row>
    <row r="3" customFormat="false" ht="15" hidden="false" customHeight="false" outlineLevel="0" collapsed="false">
      <c r="A3" s="3" t="s">
        <v>57</v>
      </c>
      <c r="B3" s="3" t="s">
        <v>58</v>
      </c>
    </row>
    <row r="4" customFormat="false" ht="15" hidden="false" customHeight="false" outlineLevel="0" collapsed="false">
      <c r="A4" s="3" t="s">
        <v>59</v>
      </c>
      <c r="B4" s="3" t="s">
        <v>60</v>
      </c>
    </row>
    <row r="5" customFormat="false" ht="15" hidden="false" customHeight="false" outlineLevel="0" collapsed="false">
      <c r="A5" s="3" t="s">
        <v>61</v>
      </c>
      <c r="B5" s="3" t="s">
        <v>62</v>
      </c>
    </row>
    <row r="6" customFormat="false" ht="15" hidden="false" customHeight="false" outlineLevel="0" collapsed="false">
      <c r="A6" s="3"/>
      <c r="B6" s="3"/>
    </row>
    <row r="7" customFormat="false" ht="15" hidden="false" customHeight="false" outlineLevel="0" collapsed="false">
      <c r="A7" s="3" t="s">
        <v>63</v>
      </c>
      <c r="B7" s="3"/>
    </row>
    <row r="8" customFormat="false" ht="15" hidden="false" customHeight="false" outlineLevel="0" collapsed="false">
      <c r="A8" s="3" t="s">
        <v>64</v>
      </c>
      <c r="B8" s="3" t="s">
        <v>65</v>
      </c>
    </row>
    <row r="9" customFormat="false" ht="15" hidden="false" customHeight="false" outlineLevel="0" collapsed="false">
      <c r="A9" s="3" t="s">
        <v>66</v>
      </c>
      <c r="B9" s="3" t="s">
        <v>67</v>
      </c>
    </row>
    <row r="10" customFormat="false" ht="15" hidden="false" customHeight="false" outlineLevel="0" collapsed="false">
      <c r="A10" s="3" t="s">
        <v>68</v>
      </c>
      <c r="B10" s="3" t="s">
        <v>69</v>
      </c>
    </row>
    <row r="11" customFormat="false" ht="15" hidden="false" customHeight="false" outlineLevel="0" collapsed="false">
      <c r="A11" s="3" t="s">
        <v>70</v>
      </c>
      <c r="B11" s="3" t="s">
        <v>71</v>
      </c>
    </row>
    <row r="12" customFormat="false" ht="15" hidden="false" customHeight="false" outlineLevel="0" collapsed="false">
      <c r="A12" s="3"/>
      <c r="B12" s="3"/>
    </row>
    <row r="13" customFormat="false" ht="15" hidden="false" customHeight="false" outlineLevel="0" collapsed="false">
      <c r="A13" s="3" t="s">
        <v>72</v>
      </c>
      <c r="B13" s="3"/>
    </row>
    <row r="14" customFormat="false" ht="15" hidden="false" customHeight="false" outlineLevel="0" collapsed="false">
      <c r="A14" s="3" t="s">
        <v>73</v>
      </c>
      <c r="B14" s="3" t="s">
        <v>74</v>
      </c>
    </row>
    <row r="15" customFormat="false" ht="15" hidden="false" customHeight="false" outlineLevel="0" collapsed="false">
      <c r="A15" s="3" t="s">
        <v>75</v>
      </c>
      <c r="B15" s="3" t="s">
        <v>76</v>
      </c>
    </row>
    <row r="16" customFormat="false" ht="15" hidden="false" customHeight="false" outlineLevel="0" collapsed="false">
      <c r="A16" s="3" t="s">
        <v>77</v>
      </c>
      <c r="B16" s="3" t="s">
        <v>78</v>
      </c>
    </row>
    <row r="17" customFormat="false" ht="15" hidden="false" customHeight="false" outlineLevel="0" collapsed="false">
      <c r="A17" s="3" t="s">
        <v>79</v>
      </c>
      <c r="B17" s="3" t="s">
        <v>80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2026-03-20T12:42:20Z</dcterms:created>
  <dc:creator>openpyxl</dc:creator>
  <dc:description/>
  <dc:language>en-US</dc:language>
  <cp:lastModifiedBy/>
  <dcterms:modified xsi:type="dcterms:W3CDTF">2026-03-20T12:42:20Z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